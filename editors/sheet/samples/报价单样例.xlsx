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报价" sheetId="1" r:id="rId1"/>
    <sheet name="汇总" sheetId="2" r:id="rId2"/>
  </sheets>
  <definedNames>
    <definedName name="_xlnm.Print_Area" localSheetId="0">报价!$A$1:$E$6</definedName>
    <definedName name="税率">报价!$G$1</definedName>
  </definedNames>
  <calcPr calcId="191029"/>
</workbook>
</file>

<file path=xl/sharedStrings.xml><?xml version="1.0" encoding="utf-8"?>
<sst xmlns="http://schemas.openxmlformats.org/spreadsheetml/2006/main" count="9" uniqueCount="9">
  <si>
    <t>示例公司物资报价单</t>
  </si>
  <si>
    <t>名称</t>
  </si>
  <si>
    <t>数量</t>
  </si>
  <si>
    <t>单价</t>
  </si>
  <si>
    <t>金额</t>
  </si>
  <si>
    <r>
      <rPr>
        <b/>
        <sz val="11"/>
      </rPr>
      <t>钢板</t>
    </r>
    <r>
      <rPr>
        <sz val="11"/>
      </rPr>
      <t> Q235</t>
    </r>
  </si>
  <si>
    <t>螺栓</t>
  </si>
  <si>
    <t>合计</t>
  </si>
  <si>
    <t>已报价</t>
  </si>
</sst>
</file>

<file path=xl/styles.xml><?xml version="1.0" encoding="utf-8"?>
<styleSheet xmlns="http://schemas.openxmlformats.org/spreadsheetml/2006/main">
  <numFmts count="1">
    <numFmt numFmtId="164" formatCode="&quot;¥&quot;#,##0.00"/>
  </numFmts>
  <fonts count="2">
    <font>
      <sz val="11"/>
      <name val="等线"/>
      <family val="2"/>
      <charset val="134"/>
      <scheme val="minor"/>
    </font>
    <font>
      <b/>
      <sz val="12"/>
      <name val="黑体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>
      <alignment horizontal="center" vertical="center"/>
    </xf>
    <xf numFmtId="164" fontId="0" fillId="0" borderId="1" xfId="0" applyNumberFormat="1" applyBorder="1"/>
    <xf numFmtId="0" fontId="0" fillId="0" borderId="1" xfId="0" applyBorder="1"/>
  </cellXfs>
  <cellStyles count="1">
    <cellStyle name="常规" xfId="0" builtinId="0"/>
  </cellStyles>
  <dxfs count="1">
    <dxf>
      <font>
        <color rgb="FFC00000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grouping val="clustered"/>
        <c:ser>
          <c:idx val="0"/>
          <c:order val="0"/>
          <c:cat>
            <c:strRef>
              <c:f>报价!$A$3:$A$4</c:f>
            </c:strRef>
          </c:cat>
          <c:val>
            <c:numRef>
              <c:f>报价!$D$3:$D$4</c:f>
            </c:numRef>
          </c:val>
        </c:ser>
        <c:axId val="1"/>
        <c:axId val="2"/>
      </c:barChart>
      <c:catAx>
        <c:axId val="1"/>
        <c:scaling>
          <c:orientation val="minMax"/>
        </c:scaling>
        <c:axPos val="b"/>
        <c:crossAx val="2"/>
      </c:catAx>
      <c:valAx>
        <c:axId val="2"/>
        <c:scaling>
          <c:orientation val="minMax"/>
        </c:scaling>
        <c:axPos val="l"/>
        <c:crossAx val="1"/>
      </c:valAx>
    </c:plotArea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25"/>
  <cols>
    <col min="1" max="1" width="18" customWidth="1"/>
    <col min="2" max="5" width="12" customWidth="1"/>
  </cols>
  <sheetData>
    <row r="1" ht="24" customHeight="1">
      <c r="A1" s="1" t="s">
        <v>0</v>
      </c>
      <c r="B1" s="1"/>
      <c r="C1" s="1"/>
      <c r="D1" s="1"/>
      <c r="E1" s="1"/>
      <c r="G1">
        <v>0.13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8</v>
      </c>
    </row>
    <row r="3">
      <c r="A3" s="3" t="s">
        <v>5</v>
      </c>
      <c r="B3" s="3">
        <v>10</v>
      </c>
      <c r="C3" s="2">
        <v>1250.5</v>
      </c>
      <c r="D3" s="2">
        <f t="shared" ref="D3:D4" si="0">B3*C3*(1+税率)</f>
        <v>14130.65</v>
      </c>
      <c r="E3" s="3" t="b">
        <v>1</v>
      </c>
    </row>
    <row r="4">
      <c r="A4" s="3" t="s">
        <v>6</v>
      </c>
      <c r="B4" s="3">
        <v>200</v>
      </c>
      <c r="C4" s="2">
        <v>0.85</v>
      </c>
      <c r="D4" s="2">
        <f t="shared" si="0"/>
        <v>192.1</v>
      </c>
      <c r="E4" s="3" t="b">
        <v>0</v>
      </c>
    </row>
    <row r="6">
      <c r="A6" s="3" t="s">
        <v>7</v>
      </c>
      <c r="D6" s="2">
        <f>SUM(D3:D4)</f>
        <v>14322.75</v>
      </c>
    </row>
  </sheetData>
  <mergeCells count="1">
    <mergeCell ref="A1:E1"/>
  </mergeCells>
  <conditionalFormatting sqref="D3:D4">
    <cfRule type="cellIs" dxfId="0" priority="1" operator="greaterThan">
      <formula>10000</formula>
    </cfRule>
  </conditionalFormatting>
  <dataValidations count="1">
    <dataValidation type="list" allowBlank="1" showErrorMessage="1" sqref="E3:E4">
      <formula1>"TRUE,FALSE"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>
  <sheetData>
    <row r="1">
      <c r="A1" t="s">
        <v>7</v>
      </c>
      <c r="B1">
        <f>报价!D6</f>
        <v>14322.75</v>
      </c>
    </row>
  </sheetData>
</worksheet>
</file>